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RHH" sheetId="1" r:id="rId4"/>
    <sheet state="visible" name="Licencias" sheetId="2" r:id="rId5"/>
    <sheet state="visible" name="Evaluacion" sheetId="3" r:id="rId6"/>
    <sheet state="visible" name="Rendimiento" sheetId="4" r:id="rId7"/>
    <sheet state="visible" name="EdeCostoyBenefv2" sheetId="5" r:id="rId8"/>
  </sheets>
  <definedNames/>
  <calcPr/>
  <extLst>
    <ext uri="GoogleSheetsCustomDataVersion2">
      <go:sheetsCustomData xmlns:go="http://customooxmlschemas.google.com/" r:id="rId9" roundtripDataChecksum="fHY8/L48cSw7Yj8CXqSmUg3uYUgKToFUXkid+5wtl5w="/>
    </ext>
  </extLst>
</workbook>
</file>

<file path=xl/sharedStrings.xml><?xml version="1.0" encoding="utf-8"?>
<sst xmlns="http://schemas.openxmlformats.org/spreadsheetml/2006/main" count="64" uniqueCount="55">
  <si>
    <t>Rol</t>
  </si>
  <si>
    <t>Cantidad</t>
  </si>
  <si>
    <t>Sueldo Mensual</t>
  </si>
  <si>
    <t>Costo Mensual</t>
  </si>
  <si>
    <t>Jefe Proyecto</t>
  </si>
  <si>
    <t>Arquitecto</t>
  </si>
  <si>
    <t>Desarrollador Front-End</t>
  </si>
  <si>
    <t>Desarrollador Back-End</t>
  </si>
  <si>
    <t>QA</t>
  </si>
  <si>
    <t>Promotor-DevOps</t>
  </si>
  <si>
    <t>DB</t>
  </si>
  <si>
    <t>Total mensual</t>
  </si>
  <si>
    <t>Total anual</t>
  </si>
  <si>
    <t>Total con indirectos (30%)</t>
  </si>
  <si>
    <t>CAJA</t>
  </si>
  <si>
    <t>Concepto</t>
  </si>
  <si>
    <t>Costo Anual</t>
  </si>
  <si>
    <t>IDEs Desarrollo VsCode</t>
  </si>
  <si>
    <t>DevOps</t>
  </si>
  <si>
    <t>Cloud (AWS)</t>
  </si>
  <si>
    <t>Testing</t>
  </si>
  <si>
    <t>IDEs  POSTGRESQL</t>
  </si>
  <si>
    <t>IDEs Python</t>
  </si>
  <si>
    <t>Amazon SES (API correo)</t>
  </si>
  <si>
    <t>Total Licencias</t>
  </si>
  <si>
    <t>Monto CLP</t>
  </si>
  <si>
    <t>Costo RRHH Total</t>
  </si>
  <si>
    <t>Costo Licencias</t>
  </si>
  <si>
    <t>Costo Total Proyecto</t>
  </si>
  <si>
    <t>Beneficio mensual</t>
  </si>
  <si>
    <t>Beneficio anual</t>
  </si>
  <si>
    <t>Ganancia</t>
  </si>
  <si>
    <t>ROI</t>
  </si>
  <si>
    <t>Rendimiento</t>
  </si>
  <si>
    <t>Periodo 0</t>
  </si>
  <si>
    <t>Mes1</t>
  </si>
  <si>
    <t>Mes2</t>
  </si>
  <si>
    <t>Mes3</t>
  </si>
  <si>
    <t>Mes4</t>
  </si>
  <si>
    <t>Mes5</t>
  </si>
  <si>
    <t>Mes6</t>
  </si>
  <si>
    <t>Mes7</t>
  </si>
  <si>
    <t>Mes8</t>
  </si>
  <si>
    <t>Mes9</t>
  </si>
  <si>
    <t>Mes10</t>
  </si>
  <si>
    <t>Mes11</t>
  </si>
  <si>
    <t>Mes12</t>
  </si>
  <si>
    <t>Beneficio</t>
  </si>
  <si>
    <t>Costo</t>
  </si>
  <si>
    <t>INVERSION</t>
  </si>
  <si>
    <t>Flujos Actualizados</t>
  </si>
  <si>
    <t>VAN</t>
  </si>
  <si>
    <t>TIR</t>
  </si>
  <si>
    <t>La Inversión para el ejemplo corresponde sólo al periodo 0, del mes1 en adelante corresponde a la diferencia entre el beneficio y el costo</t>
  </si>
  <si>
    <t>Si el i esta dado por el usuario por ejemplo 10% sino calcular CAPM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</si>
</sst>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_ ;[Red]\-#,##0\ "/>
  </numFmts>
  <fonts count="4">
    <font>
      <sz val="11.0"/>
      <color theme="1"/>
      <name val="Calibri"/>
      <scheme val="minor"/>
    </font>
    <font>
      <sz val="11.0"/>
      <color theme="0"/>
      <name val="Calibri"/>
    </font>
    <font>
      <sz val="11.0"/>
      <color theme="1"/>
      <name val="Calibri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rgb="FF92D050"/>
      </patternFill>
    </fill>
    <fill>
      <patternFill patternType="solid">
        <fgColor rgb="FF00B0F0"/>
        <bgColor rgb="FF00B0F0"/>
      </patternFill>
    </fill>
    <fill>
      <patternFill patternType="solid">
        <fgColor rgb="FFD6E3BC"/>
        <bgColor rgb="FFD6E3BC"/>
      </patternFill>
    </fill>
    <fill>
      <patternFill patternType="solid">
        <fgColor rgb="FF8DB3E2"/>
        <bgColor rgb="FF8DB3E2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Border="1" applyFont="1"/>
    <xf borderId="1" fillId="0" fontId="2" numFmtId="3" xfId="0" applyAlignment="1" applyBorder="1" applyFont="1" applyNumberFormat="1">
      <alignment readingOrder="0"/>
    </xf>
    <xf borderId="1" fillId="0" fontId="2" numFmtId="3" xfId="0" applyBorder="1" applyFont="1" applyNumberFormat="1"/>
    <xf borderId="0" fillId="0" fontId="2" numFmtId="3" xfId="0" applyFont="1" applyNumberFormat="1"/>
    <xf borderId="1" fillId="3" fontId="2" numFmtId="3" xfId="0" applyBorder="1" applyFill="1" applyFont="1" applyNumberFormat="1"/>
    <xf borderId="1" fillId="0" fontId="2" numFmtId="0" xfId="0" applyAlignment="1" applyBorder="1" applyFont="1">
      <alignment readingOrder="0"/>
    </xf>
    <xf borderId="1" fillId="4" fontId="2" numFmtId="0" xfId="0" applyBorder="1" applyFill="1" applyFont="1"/>
    <xf borderId="1" fillId="4" fontId="2" numFmtId="3" xfId="0" applyBorder="1" applyFont="1" applyNumberFormat="1"/>
    <xf borderId="1" fillId="2" fontId="1" numFmtId="0" xfId="0" applyAlignment="1" applyBorder="1" applyFont="1">
      <alignment horizontal="center"/>
    </xf>
    <xf borderId="1" fillId="3" fontId="2" numFmtId="0" xfId="0" applyBorder="1" applyFont="1"/>
    <xf borderId="1" fillId="5" fontId="2" numFmtId="0" xfId="0" applyBorder="1" applyFill="1" applyFont="1"/>
    <xf borderId="1" fillId="5" fontId="2" numFmtId="3" xfId="0" applyBorder="1" applyFont="1" applyNumberFormat="1"/>
    <xf borderId="1" fillId="6" fontId="2" numFmtId="0" xfId="0" applyBorder="1" applyFill="1" applyFont="1"/>
    <xf borderId="1" fillId="6" fontId="2" numFmtId="4" xfId="0" applyBorder="1" applyFont="1" applyNumberFormat="1"/>
    <xf borderId="2" fillId="2" fontId="1" numFmtId="0" xfId="0" applyAlignment="1" applyBorder="1" applyFont="1">
      <alignment horizontal="center" vertical="center"/>
    </xf>
    <xf borderId="1" fillId="7" fontId="2" numFmtId="0" xfId="0" applyBorder="1" applyFill="1" applyFont="1"/>
    <xf borderId="1" fillId="7" fontId="2" numFmtId="3" xfId="0" applyAlignment="1" applyBorder="1" applyFont="1" applyNumberFormat="1">
      <alignment readingOrder="0"/>
    </xf>
    <xf borderId="1" fillId="7" fontId="2" numFmtId="3" xfId="0" applyBorder="1" applyFont="1" applyNumberFormat="1"/>
    <xf borderId="1" fillId="8" fontId="2" numFmtId="0" xfId="0" applyBorder="1" applyFill="1" applyFont="1"/>
    <xf borderId="1" fillId="8" fontId="2" numFmtId="3" xfId="0" applyAlignment="1" applyBorder="1" applyFont="1" applyNumberFormat="1">
      <alignment readingOrder="0"/>
    </xf>
    <xf borderId="1" fillId="8" fontId="2" numFmtId="3" xfId="0" applyBorder="1" applyFont="1" applyNumberFormat="1"/>
    <xf borderId="1" fillId="6" fontId="2" numFmtId="164" xfId="0" applyBorder="1" applyFont="1" applyNumberFormat="1"/>
    <xf borderId="1" fillId="6" fontId="2" numFmtId="3" xfId="0" applyBorder="1" applyFont="1" applyNumberFormat="1"/>
    <xf borderId="1" fillId="6" fontId="2" numFmtId="9" xfId="0" applyBorder="1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8.71"/>
    <col customWidth="1" min="3" max="3" width="15.71"/>
    <col customWidth="1" min="4" max="4" width="17.14"/>
    <col customWidth="1" min="5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>
        <v>1.0</v>
      </c>
      <c r="C2" s="3">
        <v>1500000.0</v>
      </c>
      <c r="D2" s="4">
        <f t="shared" ref="D2:D8" si="1">B2*C2</f>
        <v>1500000</v>
      </c>
    </row>
    <row r="3" ht="14.25" customHeight="1">
      <c r="A3" s="2" t="s">
        <v>5</v>
      </c>
      <c r="B3" s="2">
        <v>1.0</v>
      </c>
      <c r="C3" s="3">
        <v>1500000.0</v>
      </c>
      <c r="D3" s="4">
        <f t="shared" si="1"/>
        <v>1500000</v>
      </c>
    </row>
    <row r="4" ht="14.25" customHeight="1">
      <c r="A4" s="2" t="s">
        <v>6</v>
      </c>
      <c r="B4" s="2">
        <v>1.0</v>
      </c>
      <c r="C4" s="3">
        <v>700000.0</v>
      </c>
      <c r="D4" s="4">
        <f t="shared" si="1"/>
        <v>700000</v>
      </c>
    </row>
    <row r="5" ht="14.25" customHeight="1">
      <c r="A5" s="2" t="s">
        <v>7</v>
      </c>
      <c r="B5" s="2">
        <v>1.0</v>
      </c>
      <c r="C5" s="3">
        <v>900000.0</v>
      </c>
      <c r="D5" s="4">
        <f t="shared" si="1"/>
        <v>900000</v>
      </c>
    </row>
    <row r="6" ht="14.25" customHeight="1">
      <c r="A6" s="2" t="s">
        <v>8</v>
      </c>
      <c r="B6" s="2">
        <v>1.0</v>
      </c>
      <c r="C6" s="3">
        <v>1000000.0</v>
      </c>
      <c r="D6" s="4">
        <f t="shared" si="1"/>
        <v>1000000</v>
      </c>
    </row>
    <row r="7" ht="14.25" customHeight="1">
      <c r="A7" s="2" t="s">
        <v>9</v>
      </c>
      <c r="B7" s="2">
        <v>1.0</v>
      </c>
      <c r="C7" s="3">
        <v>1500000.0</v>
      </c>
      <c r="D7" s="4">
        <f t="shared" si="1"/>
        <v>1500000</v>
      </c>
    </row>
    <row r="8" ht="14.25" customHeight="1">
      <c r="A8" s="2" t="s">
        <v>10</v>
      </c>
      <c r="B8" s="2">
        <v>1.0</v>
      </c>
      <c r="C8" s="3">
        <v>900000.0</v>
      </c>
      <c r="D8" s="4">
        <f t="shared" si="1"/>
        <v>900000</v>
      </c>
    </row>
    <row r="9" ht="14.25" customHeight="1">
      <c r="C9" s="5"/>
      <c r="D9" s="5"/>
    </row>
    <row r="10" ht="14.25" customHeight="1">
      <c r="C10" s="5"/>
      <c r="D10" s="5"/>
    </row>
    <row r="11" ht="14.25" customHeight="1">
      <c r="C11" s="4" t="s">
        <v>11</v>
      </c>
      <c r="D11" s="4">
        <f>SUM(D2:D8)</f>
        <v>8000000</v>
      </c>
    </row>
    <row r="12" ht="14.25" customHeight="1">
      <c r="C12" s="4" t="s">
        <v>12</v>
      </c>
      <c r="D12" s="4">
        <f>D11*12</f>
        <v>96000000</v>
      </c>
    </row>
    <row r="13" ht="14.25" customHeight="1">
      <c r="C13" s="6" t="s">
        <v>13</v>
      </c>
      <c r="D13" s="6">
        <f>D12*1.3</f>
        <v>124800000</v>
      </c>
    </row>
    <row r="14" ht="14.25" customHeight="1">
      <c r="C14" s="4" t="s">
        <v>14</v>
      </c>
      <c r="D14" s="4">
        <f>+D13-D12</f>
        <v>28800000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57"/>
    <col customWidth="1" min="2" max="2" width="15.57"/>
    <col customWidth="1" min="3" max="26" width="8.71"/>
  </cols>
  <sheetData>
    <row r="1" ht="14.25" customHeight="1">
      <c r="A1" s="1" t="s">
        <v>15</v>
      </c>
      <c r="B1" s="1" t="s">
        <v>16</v>
      </c>
    </row>
    <row r="2" ht="14.25" customHeight="1">
      <c r="A2" s="2" t="s">
        <v>17</v>
      </c>
      <c r="B2" s="4">
        <v>0.0</v>
      </c>
    </row>
    <row r="3" ht="14.25" customHeight="1">
      <c r="A3" s="2" t="s">
        <v>18</v>
      </c>
      <c r="B3" s="4">
        <v>1300000.0</v>
      </c>
    </row>
    <row r="4" ht="14.25" customHeight="1">
      <c r="A4" s="7" t="s">
        <v>19</v>
      </c>
      <c r="B4" s="4">
        <v>1200000.0</v>
      </c>
    </row>
    <row r="5" ht="14.25" customHeight="1">
      <c r="A5" s="2" t="s">
        <v>20</v>
      </c>
      <c r="B5" s="4">
        <v>1000000.0</v>
      </c>
    </row>
    <row r="6" ht="14.25" customHeight="1">
      <c r="A6" s="2" t="s">
        <v>21</v>
      </c>
      <c r="B6" s="4">
        <v>0.0</v>
      </c>
    </row>
    <row r="7" ht="14.25" customHeight="1">
      <c r="A7" s="2" t="s">
        <v>22</v>
      </c>
      <c r="B7" s="4">
        <v>0.0</v>
      </c>
    </row>
    <row r="8" ht="14.25" customHeight="1">
      <c r="A8" s="2" t="s">
        <v>23</v>
      </c>
      <c r="B8" s="4">
        <v>6750.0</v>
      </c>
    </row>
    <row r="9" ht="14.25" customHeight="1">
      <c r="A9" s="8" t="s">
        <v>24</v>
      </c>
      <c r="B9" s="9">
        <f>SUM(B2:B8)</f>
        <v>3506750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31.29"/>
    <col customWidth="1" min="3" max="3" width="8.71"/>
    <col customWidth="1" min="4" max="4" width="11.29"/>
    <col customWidth="1" min="5" max="26" width="8.71"/>
  </cols>
  <sheetData>
    <row r="1" ht="14.25" customHeight="1">
      <c r="A1" s="10" t="s">
        <v>15</v>
      </c>
      <c r="B1" s="10" t="s">
        <v>25</v>
      </c>
    </row>
    <row r="2" ht="14.25" customHeight="1">
      <c r="A2" s="11" t="s">
        <v>26</v>
      </c>
      <c r="B2" s="6">
        <f>RRHH!D13</f>
        <v>124800000</v>
      </c>
    </row>
    <row r="3" ht="14.25" customHeight="1">
      <c r="A3" s="8" t="s">
        <v>27</v>
      </c>
      <c r="B3" s="9">
        <f>Licencias!B9</f>
        <v>3506750</v>
      </c>
    </row>
    <row r="4" ht="14.25" customHeight="1">
      <c r="A4" s="2" t="s">
        <v>28</v>
      </c>
      <c r="B4" s="4">
        <f>B2+B3</f>
        <v>128306750</v>
      </c>
    </row>
    <row r="5" ht="14.25" customHeight="1">
      <c r="A5" s="2" t="s">
        <v>29</v>
      </c>
      <c r="B5" s="4">
        <f>+B4/12*1.2</f>
        <v>12830675</v>
      </c>
    </row>
    <row r="6" ht="14.25" customHeight="1">
      <c r="A6" s="12" t="s">
        <v>30</v>
      </c>
      <c r="B6" s="13">
        <f>B5*12</f>
        <v>153968100</v>
      </c>
    </row>
    <row r="7" ht="14.25" customHeight="1">
      <c r="A7" s="2" t="s">
        <v>31</v>
      </c>
      <c r="B7" s="4">
        <f>B6-B4</f>
        <v>25661350</v>
      </c>
    </row>
    <row r="8" ht="14.25" customHeight="1">
      <c r="A8" s="14" t="s">
        <v>32</v>
      </c>
      <c r="B8" s="15">
        <f>(B6-B4)/B4</f>
        <v>0.2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31.29"/>
    <col customWidth="1" min="3" max="26" width="8.71"/>
  </cols>
  <sheetData>
    <row r="1" ht="14.25" customHeight="1">
      <c r="A1" s="1" t="s">
        <v>15</v>
      </c>
      <c r="B1" s="1" t="s">
        <v>25</v>
      </c>
    </row>
    <row r="2" ht="14.25" customHeight="1">
      <c r="A2" s="11" t="s">
        <v>26</v>
      </c>
      <c r="B2" s="6">
        <f>RRHH!D13</f>
        <v>124800000</v>
      </c>
    </row>
    <row r="3" ht="14.25" customHeight="1">
      <c r="A3" s="8" t="s">
        <v>27</v>
      </c>
      <c r="B3" s="9">
        <f>Licencias!B9</f>
        <v>3506750</v>
      </c>
    </row>
    <row r="4" ht="14.25" customHeight="1">
      <c r="A4" s="2" t="s">
        <v>28</v>
      </c>
      <c r="B4" s="4">
        <f>B2+B3</f>
        <v>128306750</v>
      </c>
    </row>
    <row r="5" ht="14.25" customHeight="1">
      <c r="A5" s="2" t="s">
        <v>29</v>
      </c>
      <c r="B5" s="4">
        <f>+Evaluacion!B5</f>
        <v>12830675</v>
      </c>
    </row>
    <row r="6" ht="14.25" customHeight="1">
      <c r="A6" s="12" t="s">
        <v>30</v>
      </c>
      <c r="B6" s="13">
        <f>B5*12</f>
        <v>153968100</v>
      </c>
    </row>
    <row r="7" ht="14.25" customHeight="1">
      <c r="A7" s="2" t="s">
        <v>31</v>
      </c>
      <c r="B7" s="4">
        <f>B6-B4</f>
        <v>25661350</v>
      </c>
    </row>
    <row r="8" ht="14.25" customHeight="1">
      <c r="A8" s="14" t="s">
        <v>33</v>
      </c>
      <c r="B8" s="15">
        <f>B6/B4</f>
        <v>1.2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8.71"/>
    <col customWidth="1" min="3" max="26" width="10.71"/>
  </cols>
  <sheetData>
    <row r="1" ht="14.25" customHeight="1">
      <c r="B1" s="16" t="s">
        <v>34</v>
      </c>
      <c r="C1" s="16" t="s">
        <v>35</v>
      </c>
      <c r="D1" s="16" t="s">
        <v>36</v>
      </c>
      <c r="E1" s="16" t="s">
        <v>37</v>
      </c>
      <c r="F1" s="16" t="s">
        <v>38</v>
      </c>
      <c r="G1" s="16" t="s">
        <v>39</v>
      </c>
      <c r="H1" s="16" t="s">
        <v>40</v>
      </c>
      <c r="I1" s="16" t="s">
        <v>41</v>
      </c>
      <c r="J1" s="16" t="s">
        <v>42</v>
      </c>
      <c r="K1" s="16" t="s">
        <v>43</v>
      </c>
      <c r="L1" s="16" t="s">
        <v>44</v>
      </c>
      <c r="M1" s="16" t="s">
        <v>45</v>
      </c>
      <c r="N1" s="16" t="s">
        <v>46</v>
      </c>
    </row>
    <row r="2" ht="14.25" customHeight="1">
      <c r="A2" s="11" t="s">
        <v>47</v>
      </c>
      <c r="B2" s="11"/>
      <c r="C2" s="6">
        <f>+Rendimiento!B5</f>
        <v>12830675</v>
      </c>
      <c r="D2" s="6">
        <f t="shared" ref="D2:D3" si="1">+C2</f>
        <v>12830675</v>
      </c>
      <c r="E2" s="6">
        <f t="shared" ref="E2:E3" si="2">+C2</f>
        <v>12830675</v>
      </c>
      <c r="F2" s="6">
        <f t="shared" ref="F2:F3" si="3">+C2</f>
        <v>12830675</v>
      </c>
      <c r="G2" s="6">
        <f t="shared" ref="G2:G3" si="4">+C2</f>
        <v>12830675</v>
      </c>
      <c r="H2" s="6">
        <f t="shared" ref="H2:H3" si="5">+C2</f>
        <v>12830675</v>
      </c>
      <c r="I2" s="6">
        <f t="shared" ref="I2:I3" si="6">+C2</f>
        <v>12830675</v>
      </c>
      <c r="J2" s="6">
        <f t="shared" ref="J2:J3" si="7">+C2</f>
        <v>12830675</v>
      </c>
      <c r="K2" s="6">
        <f t="shared" ref="K2:K3" si="8">+C2</f>
        <v>12830675</v>
      </c>
      <c r="L2" s="6">
        <f t="shared" ref="L2:L3" si="9">+C2</f>
        <v>12830675</v>
      </c>
      <c r="M2" s="6">
        <f t="shared" ref="M2:M3" si="10">+C2</f>
        <v>12830675</v>
      </c>
      <c r="N2" s="6">
        <f t="shared" ref="N2:N3" si="11">+C2</f>
        <v>12830675</v>
      </c>
    </row>
    <row r="3" ht="14.25" customHeight="1">
      <c r="A3" s="8" t="s">
        <v>48</v>
      </c>
      <c r="B3" s="8"/>
      <c r="C3" s="9">
        <f>+Rendimiento!B4/12</f>
        <v>10692229.17</v>
      </c>
      <c r="D3" s="9">
        <f t="shared" si="1"/>
        <v>10692229.17</v>
      </c>
      <c r="E3" s="9">
        <f t="shared" si="2"/>
        <v>10692229.17</v>
      </c>
      <c r="F3" s="9">
        <f t="shared" si="3"/>
        <v>10692229.17</v>
      </c>
      <c r="G3" s="9">
        <f t="shared" si="4"/>
        <v>10692229.17</v>
      </c>
      <c r="H3" s="9">
        <f t="shared" si="5"/>
        <v>10692229.17</v>
      </c>
      <c r="I3" s="9">
        <f t="shared" si="6"/>
        <v>10692229.17</v>
      </c>
      <c r="J3" s="9">
        <f t="shared" si="7"/>
        <v>10692229.17</v>
      </c>
      <c r="K3" s="9">
        <f t="shared" si="8"/>
        <v>10692229.17</v>
      </c>
      <c r="L3" s="9">
        <f t="shared" si="9"/>
        <v>10692229.17</v>
      </c>
      <c r="M3" s="9">
        <f t="shared" si="10"/>
        <v>10692229.17</v>
      </c>
      <c r="N3" s="9">
        <f t="shared" si="11"/>
        <v>10692229.17</v>
      </c>
    </row>
    <row r="4" ht="14.25" customHeight="1">
      <c r="A4" s="17" t="s">
        <v>49</v>
      </c>
      <c r="B4" s="18">
        <v>-3506750.0</v>
      </c>
      <c r="C4" s="19">
        <f t="shared" ref="C4:N4" si="12">C2-C3</f>
        <v>2138445.833</v>
      </c>
      <c r="D4" s="19">
        <f t="shared" si="12"/>
        <v>2138445.833</v>
      </c>
      <c r="E4" s="19">
        <f t="shared" si="12"/>
        <v>2138445.833</v>
      </c>
      <c r="F4" s="19">
        <f t="shared" si="12"/>
        <v>2138445.833</v>
      </c>
      <c r="G4" s="19">
        <f t="shared" si="12"/>
        <v>2138445.833</v>
      </c>
      <c r="H4" s="19">
        <f t="shared" si="12"/>
        <v>2138445.833</v>
      </c>
      <c r="I4" s="19">
        <f t="shared" si="12"/>
        <v>2138445.833</v>
      </c>
      <c r="J4" s="19">
        <f t="shared" si="12"/>
        <v>2138445.833</v>
      </c>
      <c r="K4" s="19">
        <f t="shared" si="12"/>
        <v>2138445.833</v>
      </c>
      <c r="L4" s="19">
        <f t="shared" si="12"/>
        <v>2138445.833</v>
      </c>
      <c r="M4" s="19">
        <f t="shared" si="12"/>
        <v>2138445.833</v>
      </c>
      <c r="N4" s="19">
        <f t="shared" si="12"/>
        <v>2138445.833</v>
      </c>
    </row>
    <row r="5" ht="14.25" customHeight="1">
      <c r="A5" s="20" t="s">
        <v>50</v>
      </c>
      <c r="B5" s="21">
        <v>-3506750.0</v>
      </c>
      <c r="C5" s="22">
        <f>C4/POWER(1.1,1)</f>
        <v>1944041.667</v>
      </c>
      <c r="D5" s="22">
        <f>D4/POWER(1.1,2)</f>
        <v>1767310.606</v>
      </c>
      <c r="E5" s="22">
        <f>E4/POWER(1.1,3)</f>
        <v>1606646.006</v>
      </c>
      <c r="F5" s="22">
        <f>F4/POWER(1.1,4)</f>
        <v>1460587.278</v>
      </c>
      <c r="G5" s="22">
        <f>G4/POWER(1.1,5)</f>
        <v>1327806.616</v>
      </c>
      <c r="H5" s="22">
        <f>H4/POWER(1.1,6)</f>
        <v>1207096.924</v>
      </c>
      <c r="I5" s="22">
        <f>I4/POWER(1.1,7)</f>
        <v>1097360.84</v>
      </c>
      <c r="J5" s="22">
        <f>J4/POWER(1.1,8)</f>
        <v>997600.7634</v>
      </c>
      <c r="K5" s="22">
        <f>K4/POWER(1.1,9)</f>
        <v>906909.7849</v>
      </c>
      <c r="L5" s="22">
        <f>L4/POWER(1.1,10)</f>
        <v>824463.4409</v>
      </c>
      <c r="M5" s="22">
        <f>M4/POWER(1.1,11)</f>
        <v>749512.219</v>
      </c>
      <c r="N5" s="22">
        <f>N4/POWER(1.1,12)</f>
        <v>681374.7445</v>
      </c>
    </row>
    <row r="6" ht="14.25" customHeight="1"/>
    <row r="7" ht="14.25" customHeight="1">
      <c r="A7" s="14" t="s">
        <v>51</v>
      </c>
      <c r="B7" s="23">
        <f t="array" ref="B7">NPV(0.1,C4:N4)+B4</f>
        <v>11063960.89</v>
      </c>
      <c r="C7" s="14"/>
      <c r="D7" s="24">
        <f>SUM(B5:N5)</f>
        <v>11063960.89</v>
      </c>
    </row>
    <row r="8" ht="14.25" customHeight="1">
      <c r="A8" s="14" t="s">
        <v>52</v>
      </c>
      <c r="B8" s="25">
        <f>IRR(B4:N4)</f>
        <v>0.6077642569</v>
      </c>
      <c r="C8" s="14"/>
      <c r="D8" s="25">
        <f>IRR(B4:N4)</f>
        <v>0.6077642569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>
      <c r="B17" s="26" t="s">
        <v>53</v>
      </c>
    </row>
    <row r="18" ht="14.25" customHeight="1">
      <c r="B18" s="26" t="s">
        <v>54</v>
      </c>
    </row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2026-04-05T00:38:49Z</dcterms:created>
  <dc:creator>openpyxl</dc:creator>
</cp:coreProperties>
</file>